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yo/Documents/GitHub/Thrive/"/>
    </mc:Choice>
  </mc:AlternateContent>
  <xr:revisionPtr revIDLastSave="0" documentId="13_ncr:1_{06331E7B-D78B-EC40-B686-7FD6AC4AD556}" xr6:coauthVersionLast="47" xr6:coauthVersionMax="47" xr10:uidLastSave="{00000000-0000-0000-0000-000000000000}"/>
  <bookViews>
    <workbookView xWindow="-23600" yWindow="6600" windowWidth="23600" windowHeight="15800" tabRatio="500" xr2:uid="{00000000-000D-0000-FFFF-FFFF00000000}"/>
  </bookViews>
  <sheets>
    <sheet name="OWN部品マトリクス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Y13" i="1" l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<sst xmlns="http://schemas.openxmlformats.org/spreadsheetml/2006/main" count="70" uniqueCount="69">
  <si>
    <r>
      <rPr>
        <b/>
        <sz val="12"/>
        <rFont val="Arial"/>
        <family val="2"/>
      </rPr>
      <t>OWN</t>
    </r>
    <r>
      <rPr>
        <b/>
        <sz val="12"/>
        <rFont val="Noto Sans CJK SC"/>
        <family val="2"/>
      </rPr>
      <t>実装部品 必要個数マトリクス（縦軸</t>
    </r>
    <r>
      <rPr>
        <b/>
        <sz val="12"/>
        <rFont val="Arial"/>
        <family val="2"/>
      </rPr>
      <t xml:space="preserve">: </t>
    </r>
    <r>
      <rPr>
        <b/>
        <sz val="12"/>
        <rFont val="Noto Sans CJK SC"/>
        <family val="2"/>
      </rPr>
      <t xml:space="preserve">基板 </t>
    </r>
    <r>
      <rPr>
        <b/>
        <sz val="12"/>
        <rFont val="Arial"/>
        <family val="2"/>
      </rPr>
      <t xml:space="preserve">/ </t>
    </r>
    <r>
      <rPr>
        <b/>
        <sz val="12"/>
        <rFont val="Noto Sans CJK SC"/>
        <family val="2"/>
      </rPr>
      <t>横軸</t>
    </r>
    <r>
      <rPr>
        <b/>
        <sz val="12"/>
        <rFont val="Arial"/>
        <family val="2"/>
      </rPr>
      <t xml:space="preserve">: </t>
    </r>
    <r>
      <rPr>
        <b/>
        <sz val="12"/>
        <rFont val="Noto Sans CJK SC"/>
        <family val="2"/>
      </rPr>
      <t>部品型番）</t>
    </r>
  </si>
  <si>
    <t>基板名</t>
  </si>
  <si>
    <t>Teensy4.1</t>
  </si>
  <si>
    <t>ESP32C3</t>
  </si>
  <si>
    <t>ATMega2560-16A</t>
  </si>
  <si>
    <t>CH340G</t>
  </si>
  <si>
    <t>BNO055 Module</t>
  </si>
  <si>
    <t>DRV8874PWPR</t>
  </si>
  <si>
    <t>XL6009E1</t>
  </si>
  <si>
    <t>LM1117GS-3.3</t>
  </si>
  <si>
    <t>74AHC1G04W5</t>
  </si>
  <si>
    <t>74AHC1G08W5</t>
  </si>
  <si>
    <t>TLP2361</t>
  </si>
  <si>
    <t>BSS138</t>
  </si>
  <si>
    <t>TJ15S06M3L</t>
  </si>
  <si>
    <t>MTB010N06RJ3</t>
  </si>
  <si>
    <t>NJL7502L</t>
  </si>
  <si>
    <t>OSR5JA3Z74A</t>
  </si>
  <si>
    <t>OSI5FU3A11C</t>
  </si>
  <si>
    <t>tssp58038</t>
  </si>
  <si>
    <t>HC-SR04</t>
  </si>
  <si>
    <t>WS2812B</t>
  </si>
  <si>
    <t>SSD1306</t>
  </si>
  <si>
    <t>Grove</t>
  </si>
  <si>
    <t>OSR50603C1E</t>
  </si>
  <si>
    <t>OSG50603C1E</t>
  </si>
  <si>
    <t>OSWT1608C1A</t>
  </si>
  <si>
    <t>CUHS20F60</t>
  </si>
  <si>
    <t>SRC1317</t>
  </si>
  <si>
    <r>
      <rPr>
        <b/>
        <sz val="10"/>
        <color rgb="FFFFFFFF"/>
        <rFont val="Noto Sans CJK SC"/>
        <family val="2"/>
      </rPr>
      <t xml:space="preserve">カーボン抵抗 </t>
    </r>
    <r>
      <rPr>
        <b/>
        <sz val="10"/>
        <color rgb="FFFFFFFF"/>
        <rFont val="Arial"/>
        <family val="2"/>
      </rPr>
      <t>1/4W 75Ω</t>
    </r>
  </si>
  <si>
    <r>
      <rPr>
        <b/>
        <sz val="10"/>
        <color rgb="FFFFFFFF"/>
        <rFont val="Noto Sans CJK SC"/>
        <family val="2"/>
      </rPr>
      <t xml:space="preserve">カーボン抵抗 </t>
    </r>
    <r>
      <rPr>
        <b/>
        <sz val="10"/>
        <color rgb="FFFFFFFF"/>
        <rFont val="Arial"/>
        <family val="2"/>
      </rPr>
      <t>1/4W 10kΩ</t>
    </r>
  </si>
  <si>
    <r>
      <rPr>
        <b/>
        <sz val="10"/>
        <color rgb="FFFFFFFF"/>
        <rFont val="Noto Sans CJK SC"/>
        <family val="2"/>
      </rPr>
      <t>ルビコン</t>
    </r>
    <r>
      <rPr>
        <b/>
        <sz val="10"/>
        <color rgb="FFFFFFFF"/>
        <rFont val="Arial"/>
        <family val="2"/>
      </rPr>
      <t>PX 1000μF 50V</t>
    </r>
  </si>
  <si>
    <t>Crystal 16MHz</t>
  </si>
  <si>
    <t>Crystal 12MHz</t>
  </si>
  <si>
    <t>TVBP06-B043C</t>
  </si>
  <si>
    <t>ST12-401FCG</t>
  </si>
  <si>
    <t>PKM13EPYH4000-A0</t>
  </si>
  <si>
    <r>
      <rPr>
        <b/>
        <sz val="10"/>
        <color rgb="FFFFFFFF"/>
        <rFont val="Noto Sans CJK SC"/>
        <family val="2"/>
      </rPr>
      <t>電圧計</t>
    </r>
    <r>
      <rPr>
        <b/>
        <sz val="10"/>
        <color rgb="FFFFFFFF"/>
        <rFont val="Arial"/>
        <family val="2"/>
      </rPr>
      <t>(~50V)</t>
    </r>
  </si>
  <si>
    <t>B2B-XH-A</t>
  </si>
  <si>
    <t>XT30U-M</t>
  </si>
  <si>
    <t>XT30PW-F 01x02</t>
  </si>
  <si>
    <t>USB Type-C</t>
  </si>
  <si>
    <r>
      <rPr>
        <b/>
        <sz val="10"/>
        <color rgb="FFFFFFFF"/>
        <rFont val="Noto Sans CJK SC"/>
        <family val="2"/>
      </rPr>
      <t xml:space="preserve">ピンヘッダ </t>
    </r>
    <r>
      <rPr>
        <b/>
        <sz val="10"/>
        <color rgb="FFFFFFFF"/>
        <rFont val="Arial"/>
        <family val="2"/>
      </rPr>
      <t>01x03</t>
    </r>
  </si>
  <si>
    <r>
      <rPr>
        <b/>
        <sz val="10"/>
        <color rgb="FFFFFFFF"/>
        <rFont val="Noto Sans CJK SC"/>
        <family val="2"/>
      </rPr>
      <t xml:space="preserve">ピンヘッダ </t>
    </r>
    <r>
      <rPr>
        <b/>
        <sz val="10"/>
        <color rgb="FFFFFFFF"/>
        <rFont val="Arial"/>
        <family val="2"/>
      </rPr>
      <t>01x12</t>
    </r>
  </si>
  <si>
    <r>
      <rPr>
        <b/>
        <sz val="10"/>
        <color rgb="FFFFFFFF"/>
        <rFont val="Noto Sans CJK SC"/>
        <family val="2"/>
      </rPr>
      <t xml:space="preserve">ピンヘッダ </t>
    </r>
    <r>
      <rPr>
        <b/>
        <sz val="10"/>
        <color rgb="FFFFFFFF"/>
        <rFont val="Arial"/>
        <family val="2"/>
      </rPr>
      <t>02x05</t>
    </r>
  </si>
  <si>
    <r>
      <rPr>
        <b/>
        <sz val="10"/>
        <color rgb="FFFFFFFF"/>
        <rFont val="Noto Sans CJK SC"/>
        <family val="2"/>
      </rPr>
      <t xml:space="preserve">ピンヘッダ </t>
    </r>
    <r>
      <rPr>
        <b/>
        <sz val="10"/>
        <color rgb="FFFFFFFF"/>
        <rFont val="Arial"/>
        <family val="2"/>
      </rPr>
      <t>02x09</t>
    </r>
  </si>
  <si>
    <r>
      <rPr>
        <b/>
        <sz val="10"/>
        <color rgb="FFFFFFFF"/>
        <rFont val="Noto Sans CJK SC"/>
        <family val="2"/>
      </rPr>
      <t xml:space="preserve">ピンヘッダ </t>
    </r>
    <r>
      <rPr>
        <b/>
        <sz val="10"/>
        <color rgb="FFFFFFFF"/>
        <rFont val="Arial"/>
        <family val="2"/>
      </rPr>
      <t>L</t>
    </r>
    <r>
      <rPr>
        <b/>
        <sz val="10"/>
        <color rgb="FFFFFFFF"/>
        <rFont val="Noto Sans CJK SC"/>
        <family val="2"/>
      </rPr>
      <t xml:space="preserve">型 </t>
    </r>
    <r>
      <rPr>
        <b/>
        <sz val="10"/>
        <color rgb="FFFFFFFF"/>
        <rFont val="Arial"/>
        <family val="2"/>
      </rPr>
      <t>02x08</t>
    </r>
  </si>
  <si>
    <r>
      <rPr>
        <b/>
        <sz val="10"/>
        <color rgb="FFFFFFFF"/>
        <rFont val="Noto Sans CJK SC"/>
        <family val="2"/>
      </rPr>
      <t xml:space="preserve">ピンソケット </t>
    </r>
    <r>
      <rPr>
        <b/>
        <sz val="10"/>
        <color rgb="FFFFFFFF"/>
        <rFont val="Arial"/>
        <family val="2"/>
      </rPr>
      <t>01x03</t>
    </r>
  </si>
  <si>
    <r>
      <rPr>
        <b/>
        <sz val="10"/>
        <color rgb="FFFFFFFF"/>
        <rFont val="Noto Sans CJK SC"/>
        <family val="2"/>
      </rPr>
      <t xml:space="preserve">ピンソケット </t>
    </r>
    <r>
      <rPr>
        <b/>
        <sz val="10"/>
        <color rgb="FFFFFFFF"/>
        <rFont val="Arial"/>
        <family val="2"/>
      </rPr>
      <t>01x12</t>
    </r>
  </si>
  <si>
    <r>
      <rPr>
        <b/>
        <sz val="10"/>
        <color rgb="FFFFFFFF"/>
        <rFont val="Noto Sans CJK SC"/>
        <family val="2"/>
      </rPr>
      <t xml:space="preserve">ピンソケット </t>
    </r>
    <r>
      <rPr>
        <b/>
        <sz val="10"/>
        <color rgb="FFFFFFFF"/>
        <rFont val="Arial"/>
        <family val="2"/>
      </rPr>
      <t>02x05</t>
    </r>
  </si>
  <si>
    <r>
      <rPr>
        <b/>
        <sz val="10"/>
        <color rgb="FFFFFFFF"/>
        <rFont val="Noto Sans CJK SC"/>
        <family val="2"/>
      </rPr>
      <t xml:space="preserve">ピンソケット </t>
    </r>
    <r>
      <rPr>
        <b/>
        <sz val="10"/>
        <color rgb="FFFFFFFF"/>
        <rFont val="Arial"/>
        <family val="2"/>
      </rPr>
      <t>02x09</t>
    </r>
  </si>
  <si>
    <r>
      <rPr>
        <b/>
        <sz val="10"/>
        <color rgb="FFFFFFFF"/>
        <rFont val="Noto Sans CJK SC"/>
        <family val="2"/>
      </rPr>
      <t xml:space="preserve">ピンソケット </t>
    </r>
    <r>
      <rPr>
        <b/>
        <sz val="10"/>
        <color rgb="FFFFFFFF"/>
        <rFont val="Arial"/>
        <family val="2"/>
      </rPr>
      <t>L</t>
    </r>
    <r>
      <rPr>
        <b/>
        <sz val="10"/>
        <color rgb="FFFFFFFF"/>
        <rFont val="Noto Sans CJK SC"/>
        <family val="2"/>
      </rPr>
      <t xml:space="preserve">型 </t>
    </r>
    <r>
      <rPr>
        <b/>
        <sz val="10"/>
        <color rgb="FFFFFFFF"/>
        <rFont val="Arial"/>
        <family val="2"/>
      </rPr>
      <t>02x08</t>
    </r>
  </si>
  <si>
    <t>BallCatch 001</t>
  </si>
  <si>
    <t>Capacitor 001</t>
  </si>
  <si>
    <t>Kicker 001</t>
  </si>
  <si>
    <r>
      <rPr>
        <b/>
        <sz val="10"/>
        <rFont val="Noto Sans CJK SC"/>
        <family val="2"/>
      </rPr>
      <t xml:space="preserve">ラインセンサ基板 </t>
    </r>
    <r>
      <rPr>
        <b/>
        <sz val="10"/>
        <rFont val="Arial"/>
        <family val="2"/>
      </rPr>
      <t>001</t>
    </r>
  </si>
  <si>
    <t>Main 001</t>
  </si>
  <si>
    <t>MD 001</t>
  </si>
  <si>
    <r>
      <rPr>
        <b/>
        <sz val="10"/>
        <rFont val="Noto Sans CJK SC"/>
        <family val="2"/>
      </rPr>
      <t xml:space="preserve">ネオピクセル基板 </t>
    </r>
    <r>
      <rPr>
        <b/>
        <sz val="10"/>
        <rFont val="Arial"/>
        <family val="2"/>
      </rPr>
      <t>001</t>
    </r>
  </si>
  <si>
    <t>Relay 001</t>
  </si>
  <si>
    <r>
      <rPr>
        <b/>
        <sz val="10"/>
        <rFont val="Noto Sans CJK SC"/>
        <family val="2"/>
      </rPr>
      <t xml:space="preserve">サブ基板 </t>
    </r>
    <r>
      <rPr>
        <b/>
        <sz val="10"/>
        <rFont val="Arial"/>
        <family val="2"/>
      </rPr>
      <t>001</t>
    </r>
  </si>
  <si>
    <t>合計</t>
  </si>
  <si>
    <r>
      <rPr>
        <sz val="9"/>
        <color rgb="FF808080"/>
        <rFont val="Noto Sans CJK SC"/>
        <family val="2"/>
      </rPr>
      <t>※ 各</t>
    </r>
    <r>
      <rPr>
        <sz val="9"/>
        <color rgb="FF808080"/>
        <rFont val="Arial"/>
        <family val="2"/>
      </rPr>
      <t>README</t>
    </r>
    <r>
      <rPr>
        <sz val="9"/>
        <color rgb="FF808080"/>
        <rFont val="Noto Sans CJK SC"/>
        <family val="2"/>
      </rPr>
      <t xml:space="preserve">の「使用部品」表で </t>
    </r>
    <r>
      <rPr>
        <sz val="9"/>
        <color rgb="FF808080"/>
        <rFont val="Arial"/>
        <family val="2"/>
      </rPr>
      <t xml:space="preserve">Assembled By = OWN </t>
    </r>
    <r>
      <rPr>
        <sz val="9"/>
        <color rgb="FF808080"/>
        <rFont val="Noto Sans CJK SC"/>
        <family val="2"/>
      </rPr>
      <t>の部品のみを集計（テンプレート</t>
    </r>
    <r>
      <rPr>
        <sz val="9"/>
        <color rgb="FF808080"/>
        <rFont val="Arial"/>
        <family val="2"/>
      </rPr>
      <t>README</t>
    </r>
    <r>
      <rPr>
        <sz val="9"/>
        <color rgb="FF808080"/>
        <rFont val="Noto Sans CJK SC"/>
        <family val="2"/>
      </rPr>
      <t>は除外）</t>
    </r>
  </si>
  <si>
    <r>
      <rPr>
        <sz val="9"/>
        <color rgb="FF808080"/>
        <rFont val="Noto Sans CJK SC"/>
        <family val="2"/>
      </rPr>
      <t xml:space="preserve">※ サブ基板 </t>
    </r>
    <r>
      <rPr>
        <sz val="9"/>
        <color rgb="FF808080"/>
        <rFont val="Arial"/>
        <family val="2"/>
      </rPr>
      <t xml:space="preserve">001 </t>
    </r>
    <r>
      <rPr>
        <sz val="9"/>
        <color rgb="FF808080"/>
        <rFont val="Noto Sans CJK SC"/>
        <family val="2"/>
      </rPr>
      <t xml:space="preserve">の </t>
    </r>
    <r>
      <rPr>
        <sz val="9"/>
        <color rgb="FF808080"/>
        <rFont val="Arial"/>
        <family val="2"/>
      </rPr>
      <t xml:space="preserve">D4 (OSG50603C1E) </t>
    </r>
    <r>
      <rPr>
        <sz val="9"/>
        <color rgb="FF808080"/>
        <rFont val="Noto Sans CJK SC"/>
        <family val="2"/>
      </rPr>
      <t>は「</t>
    </r>
    <r>
      <rPr>
        <sz val="9"/>
        <color rgb="FF808080"/>
        <rFont val="Arial"/>
        <family val="2"/>
      </rPr>
      <t>ONW</t>
    </r>
    <r>
      <rPr>
        <sz val="9"/>
        <color rgb="FF808080"/>
        <rFont val="Noto Sans CJK SC"/>
        <family val="2"/>
      </rPr>
      <t>」表記だが</t>
    </r>
    <r>
      <rPr>
        <sz val="9"/>
        <color rgb="FF808080"/>
        <rFont val="Arial"/>
        <family val="2"/>
      </rPr>
      <t>OWN</t>
    </r>
    <r>
      <rPr>
        <sz val="9"/>
        <color rgb="FF808080"/>
        <rFont val="Noto Sans CJK SC"/>
        <family val="2"/>
      </rPr>
      <t>のタイポと判断して集計に含めた</t>
    </r>
  </si>
  <si>
    <r>
      <rPr>
        <sz val="9"/>
        <color rgb="FF808080"/>
        <rFont val="Noto Sans CJK SC"/>
        <family val="2"/>
      </rPr>
      <t>※ 「</t>
    </r>
    <r>
      <rPr>
        <sz val="9"/>
        <color rgb="FF808080"/>
        <rFont val="Arial"/>
        <family val="2"/>
      </rPr>
      <t>XT30U-M</t>
    </r>
    <r>
      <rPr>
        <sz val="9"/>
        <color rgb="FF808080"/>
        <rFont val="Noto Sans CJK SC"/>
        <family val="2"/>
      </rPr>
      <t xml:space="preserve">」はラインセンサ基板の </t>
    </r>
    <r>
      <rPr>
        <sz val="9"/>
        <color rgb="FF808080"/>
        <rFont val="Arial"/>
        <family val="2"/>
      </rPr>
      <t xml:space="preserve">XT30U-M </t>
    </r>
    <r>
      <rPr>
        <sz val="9"/>
        <color rgb="FF808080"/>
        <rFont val="Noto Sans CJK SC"/>
        <family val="2"/>
      </rPr>
      <t xml:space="preserve">と </t>
    </r>
    <r>
      <rPr>
        <sz val="9"/>
        <color rgb="FF808080"/>
        <rFont val="Arial"/>
        <family val="2"/>
      </rPr>
      <t xml:space="preserve">Relay </t>
    </r>
    <r>
      <rPr>
        <sz val="9"/>
        <color rgb="FF808080"/>
        <rFont val="Noto Sans CJK SC"/>
        <family val="2"/>
      </rPr>
      <t xml:space="preserve">の </t>
    </r>
    <r>
      <rPr>
        <sz val="9"/>
        <color rgb="FF808080"/>
        <rFont val="Arial"/>
        <family val="2"/>
      </rPr>
      <t xml:space="preserve">XT30U-M 01x02 </t>
    </r>
    <r>
      <rPr>
        <sz val="9"/>
        <color rgb="FF808080"/>
        <rFont val="Noto Sans CJK SC"/>
        <family val="2"/>
      </rPr>
      <t>を同一部品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 xml:space="preserve">秋月 </t>
    </r>
    <r>
      <rPr>
        <sz val="9"/>
        <color rgb="FF808080"/>
        <rFont val="Arial"/>
        <family val="2"/>
      </rPr>
      <t>g117951)</t>
    </r>
    <r>
      <rPr>
        <sz val="9"/>
        <color rgb="FF808080"/>
        <rFont val="Noto Sans CJK SC"/>
        <family val="2"/>
      </rPr>
      <t>として統合</t>
    </r>
  </si>
  <si>
    <r>
      <rPr>
        <sz val="9"/>
        <color rgb="FF808080"/>
        <rFont val="Noto Sans CJK SC"/>
        <family val="2"/>
      </rPr>
      <t>※ 「</t>
    </r>
    <r>
      <rPr>
        <sz val="9"/>
        <color rgb="FF808080"/>
        <rFont val="Arial"/>
        <family val="2"/>
      </rPr>
      <t>USB Type-C</t>
    </r>
    <r>
      <rPr>
        <sz val="9"/>
        <color rgb="FF808080"/>
        <rFont val="Noto Sans CJK SC"/>
        <family val="2"/>
      </rPr>
      <t xml:space="preserve">」はラインセンサ基板の </t>
    </r>
    <r>
      <rPr>
        <sz val="9"/>
        <color rgb="FF808080"/>
        <rFont val="Arial"/>
        <family val="2"/>
      </rPr>
      <t xml:space="preserve">USB Type-C </t>
    </r>
    <r>
      <rPr>
        <sz val="9"/>
        <color rgb="FF808080"/>
        <rFont val="Noto Sans CJK SC"/>
        <family val="2"/>
      </rPr>
      <t xml:space="preserve">とネオピクセル基板の </t>
    </r>
    <r>
      <rPr>
        <sz val="9"/>
        <color rgb="FF808080"/>
        <rFont val="Arial"/>
        <family val="2"/>
      </rPr>
      <t xml:space="preserve">USB Type-C Horizontal </t>
    </r>
    <r>
      <rPr>
        <sz val="9"/>
        <color rgb="FF808080"/>
        <rFont val="Noto Sans CJK SC"/>
        <family val="2"/>
      </rPr>
      <t>を同一部品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 xml:space="preserve">秋月 </t>
    </r>
    <r>
      <rPr>
        <sz val="9"/>
        <color rgb="FF808080"/>
        <rFont val="Arial"/>
        <family val="2"/>
      </rPr>
      <t>g114356)</t>
    </r>
    <r>
      <rPr>
        <sz val="9"/>
        <color rgb="FF808080"/>
        <rFont val="Noto Sans CJK SC"/>
        <family val="2"/>
      </rPr>
      <t>として統合</t>
    </r>
  </si>
  <si>
    <r>
      <rPr>
        <sz val="9"/>
        <color rgb="FF808080"/>
        <rFont val="Noto Sans CJK SC"/>
        <family val="2"/>
      </rPr>
      <t xml:space="preserve">※ ネオピクセル基板の </t>
    </r>
    <r>
      <rPr>
        <sz val="9"/>
        <color rgb="FF808080"/>
        <rFont val="Arial"/>
        <family val="2"/>
      </rPr>
      <t>USB Type-C Vertical</t>
    </r>
    <r>
      <rPr>
        <sz val="9"/>
        <color rgb="FF808080"/>
        <rFont val="Noto Sans CJK SC"/>
        <family val="2"/>
      </rPr>
      <t>、サブ基板</t>
    </r>
    <r>
      <rPr>
        <sz val="9"/>
        <color rgb="FF808080"/>
        <rFont val="Arial"/>
        <family val="2"/>
      </rPr>
      <t>/</t>
    </r>
    <r>
      <rPr>
        <sz val="9"/>
        <color rgb="FF808080"/>
        <rFont val="Noto Sans CJK SC"/>
        <family val="2"/>
      </rPr>
      <t>メイン基板の</t>
    </r>
    <r>
      <rPr>
        <sz val="9"/>
        <color rgb="FF808080"/>
        <rFont val="Arial"/>
        <family val="2"/>
      </rPr>
      <t>FPC</t>
    </r>
    <r>
      <rPr>
        <sz val="9"/>
        <color rgb="FF808080"/>
        <rFont val="Noto Sans CJK SC"/>
        <family val="2"/>
      </rPr>
      <t xml:space="preserve">コネクタ等 </t>
    </r>
    <r>
      <rPr>
        <sz val="9"/>
        <color rgb="FF808080"/>
        <rFont val="Arial"/>
        <family val="2"/>
      </rPr>
      <t>JLCPCB</t>
    </r>
    <r>
      <rPr>
        <sz val="9"/>
        <color rgb="FF808080"/>
        <rFont val="Noto Sans CJK SC"/>
        <family val="2"/>
      </rPr>
      <t>実装分は含まない</t>
    </r>
  </si>
  <si>
    <t>toin</t>
    <phoneticPr fontId="10"/>
  </si>
  <si>
    <r>
      <t>35V</t>
    </r>
    <r>
      <rPr>
        <sz val="11"/>
        <color theme="1"/>
        <rFont val="MS Gothic"/>
        <family val="2"/>
        <charset val="128"/>
      </rPr>
      <t>にするかも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</si>
</sst>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2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Noto Sans CJK SC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sz val="6"/>
      <name val="Tsukushi A Round Gothic Bold"/>
      <family val="3"/>
      <charset val="128"/>
    </font>
    <font>
      <sz val="11"/>
      <color theme="1"/>
      <name val="MS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textRotation="90"/>
    </xf>
    <xf numFmtId="0" fontId="3" fillId="2" borderId="1" xfId="0" applyFont="1" applyFill="1" applyBorder="1" applyAlignment="1">
      <alignment horizontal="center" textRotation="90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"/>
  <sheetViews>
    <sheetView tabSelected="1" zoomScale="138" zoomScaleNormal="100" workbookViewId="0">
      <pane xSplit="1" ySplit="3" topLeftCell="AU4" activePane="bottomRight" state="frozen"/>
      <selection pane="topRight" activeCell="B1" sqref="B1"/>
      <selection pane="bottomLeft" activeCell="A4" sqref="A4"/>
      <selection pane="bottomRight" activeCell="BD12" sqref="BD12"/>
    </sheetView>
  </sheetViews>
  <sheetFormatPr baseColWidth="10" defaultColWidth="8.6640625" defaultRowHeight="15"/>
  <cols>
    <col min="1" max="1" width="22" customWidth="1"/>
    <col min="2" max="51" width="5.5" customWidth="1"/>
  </cols>
  <sheetData>
    <row r="1" spans="1:51" ht="16">
      <c r="A1" s="1" t="s">
        <v>0</v>
      </c>
    </row>
    <row r="3" spans="1:51" ht="129.75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4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4" t="s">
        <v>42</v>
      </c>
      <c r="AQ3" s="4" t="s">
        <v>43</v>
      </c>
      <c r="AR3" s="4" t="s">
        <v>44</v>
      </c>
      <c r="AS3" s="4" t="s">
        <v>45</v>
      </c>
      <c r="AT3" s="4" t="s">
        <v>46</v>
      </c>
      <c r="AU3" s="4" t="s">
        <v>47</v>
      </c>
      <c r="AV3" s="4" t="s">
        <v>48</v>
      </c>
      <c r="AW3" s="4" t="s">
        <v>49</v>
      </c>
      <c r="AX3" s="4" t="s">
        <v>50</v>
      </c>
      <c r="AY3" s="4" t="s">
        <v>51</v>
      </c>
    </row>
    <row r="4" spans="1:51">
      <c r="A4" s="5" t="s">
        <v>52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>
        <v>1</v>
      </c>
      <c r="Q4" s="6">
        <v>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>
        <v>1</v>
      </c>
      <c r="AD4" s="6">
        <v>1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>
        <v>1</v>
      </c>
      <c r="AQ4" s="6"/>
      <c r="AR4" s="6"/>
      <c r="AS4" s="6"/>
      <c r="AT4" s="6"/>
      <c r="AU4" s="6"/>
      <c r="AV4" s="6"/>
      <c r="AW4" s="6"/>
      <c r="AX4" s="6"/>
      <c r="AY4" s="6"/>
    </row>
    <row r="5" spans="1:51">
      <c r="A5" s="7" t="s">
        <v>53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>
        <v>4</v>
      </c>
      <c r="AF5" s="8"/>
      <c r="AG5" s="8"/>
      <c r="AH5" s="8"/>
      <c r="AI5" s="8"/>
      <c r="AJ5" s="8"/>
      <c r="AK5" s="8"/>
      <c r="AL5" s="8">
        <v>1</v>
      </c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>
      <c r="A6" s="5" t="s">
        <v>54</v>
      </c>
      <c r="B6" s="6"/>
      <c r="C6" s="6"/>
      <c r="D6" s="6"/>
      <c r="E6" s="6"/>
      <c r="F6" s="6"/>
      <c r="G6" s="6">
        <v>1</v>
      </c>
      <c r="H6" s="6">
        <v>1</v>
      </c>
      <c r="I6" s="6"/>
      <c r="J6" s="6">
        <v>5</v>
      </c>
      <c r="K6" s="6">
        <v>2</v>
      </c>
      <c r="L6" s="6">
        <v>3</v>
      </c>
      <c r="M6" s="6">
        <v>1</v>
      </c>
      <c r="N6" s="6">
        <v>1</v>
      </c>
      <c r="O6" s="6">
        <v>2</v>
      </c>
      <c r="P6" s="6">
        <v>1</v>
      </c>
      <c r="Q6" s="6">
        <v>1</v>
      </c>
      <c r="R6" s="6"/>
      <c r="S6" s="6"/>
      <c r="T6" s="6"/>
      <c r="U6" s="6"/>
      <c r="V6" s="6"/>
      <c r="W6" s="6"/>
      <c r="X6" s="6">
        <v>1</v>
      </c>
      <c r="Y6" s="6">
        <v>1</v>
      </c>
      <c r="Z6" s="6"/>
      <c r="AA6" s="6">
        <v>1</v>
      </c>
      <c r="AB6" s="6">
        <v>1</v>
      </c>
      <c r="AC6" s="6"/>
      <c r="AD6" s="6"/>
      <c r="AE6" s="6"/>
      <c r="AF6" s="6"/>
      <c r="AG6" s="6"/>
      <c r="AH6" s="6"/>
      <c r="AI6" s="6"/>
      <c r="AJ6" s="6"/>
      <c r="AK6" s="6"/>
      <c r="AL6" s="6">
        <v>4</v>
      </c>
      <c r="AM6" s="6"/>
      <c r="AN6" s="6"/>
      <c r="AO6" s="6"/>
      <c r="AP6" s="6"/>
      <c r="AQ6" s="6"/>
      <c r="AR6" s="6">
        <v>1</v>
      </c>
      <c r="AS6" s="6"/>
      <c r="AT6" s="6"/>
      <c r="AU6" s="6"/>
      <c r="AV6" s="6"/>
      <c r="AW6" s="6"/>
      <c r="AX6" s="6"/>
      <c r="AY6" s="6"/>
    </row>
    <row r="7" spans="1:51">
      <c r="A7" s="9" t="s">
        <v>55</v>
      </c>
      <c r="B7" s="8"/>
      <c r="C7" s="8"/>
      <c r="D7" s="8">
        <v>1</v>
      </c>
      <c r="E7" s="8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>
        <v>36</v>
      </c>
      <c r="Q7" s="8">
        <v>36</v>
      </c>
      <c r="R7" s="8"/>
      <c r="S7" s="8"/>
      <c r="T7" s="8"/>
      <c r="U7" s="8"/>
      <c r="V7" s="8"/>
      <c r="W7" s="8"/>
      <c r="X7" s="8"/>
      <c r="Y7" s="8">
        <v>1</v>
      </c>
      <c r="Z7" s="8">
        <v>1</v>
      </c>
      <c r="AA7" s="8"/>
      <c r="AB7" s="8"/>
      <c r="AC7" s="8"/>
      <c r="AD7" s="8"/>
      <c r="AE7" s="8"/>
      <c r="AF7" s="8">
        <v>1</v>
      </c>
      <c r="AG7" s="8">
        <v>1</v>
      </c>
      <c r="AH7" s="8">
        <v>1</v>
      </c>
      <c r="AI7" s="8"/>
      <c r="AJ7" s="8"/>
      <c r="AK7" s="8"/>
      <c r="AL7" s="8">
        <v>1</v>
      </c>
      <c r="AM7" s="8">
        <v>1</v>
      </c>
      <c r="AN7" s="8"/>
      <c r="AO7" s="8">
        <v>1</v>
      </c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>
      <c r="A8" s="5" t="s">
        <v>56</v>
      </c>
      <c r="B8" s="6">
        <v>1</v>
      </c>
      <c r="C8" s="6"/>
      <c r="D8" s="6"/>
      <c r="E8" s="6"/>
      <c r="F8" s="6">
        <v>1</v>
      </c>
      <c r="G8" s="6"/>
      <c r="H8" s="6"/>
      <c r="I8" s="6"/>
      <c r="J8" s="6"/>
      <c r="K8" s="6"/>
      <c r="L8" s="6"/>
      <c r="M8" s="6">
        <v>2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>
        <v>1</v>
      </c>
      <c r="AA8" s="6"/>
      <c r="AB8" s="6"/>
      <c r="AC8" s="6"/>
      <c r="AD8" s="6"/>
      <c r="AE8" s="6"/>
      <c r="AF8" s="6"/>
      <c r="AG8" s="6"/>
      <c r="AH8" s="6">
        <v>1</v>
      </c>
      <c r="AI8" s="6"/>
      <c r="AJ8" s="6">
        <v>1</v>
      </c>
      <c r="AK8" s="6"/>
      <c r="AL8" s="6"/>
      <c r="AM8" s="6"/>
      <c r="AN8" s="6"/>
      <c r="AO8" s="6"/>
      <c r="AP8" s="6"/>
      <c r="AQ8" s="6"/>
      <c r="AR8" s="6"/>
      <c r="AS8" s="6">
        <v>1</v>
      </c>
      <c r="AT8" s="6"/>
      <c r="AU8" s="6"/>
      <c r="AV8" s="6"/>
      <c r="AW8" s="6"/>
      <c r="AX8" s="6"/>
      <c r="AY8" s="6"/>
    </row>
    <row r="9" spans="1:51">
      <c r="A9" s="7" t="s">
        <v>57</v>
      </c>
      <c r="B9" s="8"/>
      <c r="C9" s="8"/>
      <c r="D9" s="8"/>
      <c r="E9" s="8"/>
      <c r="F9" s="8"/>
      <c r="G9" s="8">
        <v>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>
        <v>1</v>
      </c>
      <c r="Y9" s="8">
        <v>1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>
        <v>1</v>
      </c>
      <c r="AO9" s="8"/>
      <c r="AP9" s="8"/>
      <c r="AQ9" s="8"/>
      <c r="AR9" s="8"/>
      <c r="AS9" s="8"/>
      <c r="AT9" s="8">
        <v>1</v>
      </c>
      <c r="AU9" s="8">
        <v>1</v>
      </c>
      <c r="AV9" s="8"/>
      <c r="AW9" s="8"/>
      <c r="AX9" s="8"/>
      <c r="AY9" s="8"/>
    </row>
    <row r="10" spans="1:51">
      <c r="A10" s="10" t="s">
        <v>58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32</v>
      </c>
      <c r="V10" s="6">
        <v>1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>
        <v>4</v>
      </c>
      <c r="AJ10" s="6"/>
      <c r="AK10" s="6">
        <v>1</v>
      </c>
      <c r="AL10" s="6">
        <v>2</v>
      </c>
      <c r="AM10" s="6"/>
      <c r="AN10" s="6"/>
      <c r="AO10" s="6">
        <v>6</v>
      </c>
      <c r="AP10" s="6"/>
      <c r="AQ10" s="6">
        <v>1</v>
      </c>
      <c r="AR10" s="6"/>
      <c r="AS10" s="6"/>
      <c r="AT10" s="6"/>
      <c r="AU10" s="6"/>
      <c r="AV10" s="6"/>
      <c r="AW10" s="6"/>
      <c r="AX10" s="6"/>
      <c r="AY10" s="6"/>
    </row>
    <row r="11" spans="1:51">
      <c r="A11" s="7" t="s">
        <v>59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>
        <v>6</v>
      </c>
      <c r="AM11" s="8">
        <v>4</v>
      </c>
      <c r="AN11" s="8">
        <v>1</v>
      </c>
      <c r="AO11" s="8"/>
      <c r="AP11" s="8">
        <v>1</v>
      </c>
      <c r="AQ11" s="8"/>
      <c r="AR11" s="8"/>
      <c r="AS11" s="8"/>
      <c r="AT11" s="8"/>
      <c r="AU11" s="8"/>
      <c r="AV11" s="8"/>
      <c r="AW11" s="8">
        <v>1</v>
      </c>
      <c r="AX11" s="8">
        <v>1</v>
      </c>
      <c r="AY11" s="8">
        <v>1</v>
      </c>
    </row>
    <row r="12" spans="1:51">
      <c r="A12" s="10" t="s">
        <v>60</v>
      </c>
      <c r="B12" s="6"/>
      <c r="C12" s="6">
        <v>2</v>
      </c>
      <c r="D12" s="6"/>
      <c r="E12" s="6"/>
      <c r="F12" s="6"/>
      <c r="G12" s="6"/>
      <c r="H12" s="6"/>
      <c r="I12" s="6">
        <v>6</v>
      </c>
      <c r="J12" s="6"/>
      <c r="K12" s="6"/>
      <c r="L12" s="6"/>
      <c r="M12" s="6">
        <v>8</v>
      </c>
      <c r="N12" s="6"/>
      <c r="O12" s="6"/>
      <c r="P12" s="6"/>
      <c r="Q12" s="6"/>
      <c r="R12" s="6">
        <v>8</v>
      </c>
      <c r="S12" s="6">
        <v>4</v>
      </c>
      <c r="T12" s="6">
        <v>4</v>
      </c>
      <c r="U12" s="6"/>
      <c r="V12" s="6"/>
      <c r="W12" s="6">
        <v>5</v>
      </c>
      <c r="X12" s="6">
        <v>1</v>
      </c>
      <c r="Y12" s="6">
        <v>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>
        <v>1</v>
      </c>
      <c r="AN12" s="6"/>
      <c r="AO12" s="6"/>
      <c r="AP12" s="6"/>
      <c r="AQ12" s="6"/>
      <c r="AR12" s="6"/>
      <c r="AS12" s="6"/>
      <c r="AT12" s="6"/>
      <c r="AU12" s="6">
        <v>1</v>
      </c>
      <c r="AV12" s="6">
        <v>1</v>
      </c>
      <c r="AW12" s="6"/>
      <c r="AX12" s="6"/>
      <c r="AY12" s="6"/>
    </row>
    <row r="13" spans="1:51">
      <c r="A13" s="11" t="s">
        <v>61</v>
      </c>
      <c r="B13" s="12">
        <f t="shared" ref="B13:AG13" si="0">SUM(B4:B12)</f>
        <v>1</v>
      </c>
      <c r="C13" s="12">
        <f t="shared" si="0"/>
        <v>2</v>
      </c>
      <c r="D13" s="12">
        <f t="shared" si="0"/>
        <v>1</v>
      </c>
      <c r="E13" s="12">
        <f t="shared" si="0"/>
        <v>1</v>
      </c>
      <c r="F13" s="12">
        <f t="shared" si="0"/>
        <v>1</v>
      </c>
      <c r="G13" s="12">
        <f t="shared" si="0"/>
        <v>5</v>
      </c>
      <c r="H13" s="12">
        <f t="shared" si="0"/>
        <v>1</v>
      </c>
      <c r="I13" s="12">
        <f t="shared" si="0"/>
        <v>6</v>
      </c>
      <c r="J13" s="12">
        <f t="shared" si="0"/>
        <v>5</v>
      </c>
      <c r="K13" s="12">
        <f t="shared" si="0"/>
        <v>2</v>
      </c>
      <c r="L13" s="12">
        <f t="shared" si="0"/>
        <v>3</v>
      </c>
      <c r="M13" s="12">
        <f t="shared" si="0"/>
        <v>11</v>
      </c>
      <c r="N13" s="12">
        <f t="shared" si="0"/>
        <v>1</v>
      </c>
      <c r="O13" s="12">
        <f t="shared" si="0"/>
        <v>2</v>
      </c>
      <c r="P13" s="12">
        <f t="shared" si="0"/>
        <v>38</v>
      </c>
      <c r="Q13" s="12">
        <f t="shared" si="0"/>
        <v>38</v>
      </c>
      <c r="R13" s="12">
        <f t="shared" si="0"/>
        <v>8</v>
      </c>
      <c r="S13" s="12">
        <f t="shared" si="0"/>
        <v>4</v>
      </c>
      <c r="T13" s="12">
        <f t="shared" si="0"/>
        <v>4</v>
      </c>
      <c r="U13" s="12">
        <f t="shared" si="0"/>
        <v>32</v>
      </c>
      <c r="V13" s="12">
        <f t="shared" si="0"/>
        <v>1</v>
      </c>
      <c r="W13" s="12">
        <f t="shared" si="0"/>
        <v>5</v>
      </c>
      <c r="X13" s="12">
        <f t="shared" si="0"/>
        <v>3</v>
      </c>
      <c r="Y13" s="12">
        <f t="shared" si="0"/>
        <v>4</v>
      </c>
      <c r="Z13" s="12">
        <f t="shared" si="0"/>
        <v>2</v>
      </c>
      <c r="AA13" s="12">
        <f t="shared" si="0"/>
        <v>1</v>
      </c>
      <c r="AB13" s="12">
        <f t="shared" si="0"/>
        <v>1</v>
      </c>
      <c r="AC13" s="12">
        <f t="shared" si="0"/>
        <v>1</v>
      </c>
      <c r="AD13" s="12">
        <f t="shared" si="0"/>
        <v>1</v>
      </c>
      <c r="AE13" s="12">
        <f t="shared" si="0"/>
        <v>4</v>
      </c>
      <c r="AF13" s="12">
        <f t="shared" si="0"/>
        <v>1</v>
      </c>
      <c r="AG13" s="12">
        <f t="shared" si="0"/>
        <v>1</v>
      </c>
      <c r="AH13" s="12">
        <f t="shared" ref="AH13:AY13" si="1">SUM(AH4:AH12)</f>
        <v>2</v>
      </c>
      <c r="AI13" s="12">
        <f t="shared" si="1"/>
        <v>4</v>
      </c>
      <c r="AJ13" s="12">
        <f t="shared" si="1"/>
        <v>1</v>
      </c>
      <c r="AK13" s="12">
        <f t="shared" si="1"/>
        <v>1</v>
      </c>
      <c r="AL13" s="12">
        <f t="shared" si="1"/>
        <v>14</v>
      </c>
      <c r="AM13" s="12">
        <f t="shared" si="1"/>
        <v>6</v>
      </c>
      <c r="AN13" s="12">
        <f t="shared" si="1"/>
        <v>2</v>
      </c>
      <c r="AO13" s="12">
        <f t="shared" si="1"/>
        <v>7</v>
      </c>
      <c r="AP13" s="12">
        <f t="shared" si="1"/>
        <v>2</v>
      </c>
      <c r="AQ13" s="12">
        <f t="shared" si="1"/>
        <v>1</v>
      </c>
      <c r="AR13" s="12">
        <f t="shared" si="1"/>
        <v>1</v>
      </c>
      <c r="AS13" s="12">
        <f t="shared" si="1"/>
        <v>1</v>
      </c>
      <c r="AT13" s="12">
        <f t="shared" si="1"/>
        <v>1</v>
      </c>
      <c r="AU13" s="12">
        <f t="shared" si="1"/>
        <v>2</v>
      </c>
      <c r="AV13" s="12">
        <f t="shared" si="1"/>
        <v>1</v>
      </c>
      <c r="AW13" s="12">
        <f t="shared" si="1"/>
        <v>1</v>
      </c>
      <c r="AX13" s="12">
        <f t="shared" si="1"/>
        <v>1</v>
      </c>
      <c r="AY13" s="12">
        <f t="shared" si="1"/>
        <v>1</v>
      </c>
    </row>
    <row r="14" spans="1:51">
      <c r="AC14" t="s">
        <v>67</v>
      </c>
      <c r="AD14" t="s">
        <v>67</v>
      </c>
      <c r="AE14" t="s">
        <v>68</v>
      </c>
    </row>
    <row r="15" spans="1:51">
      <c r="A15" s="13" t="s">
        <v>62</v>
      </c>
    </row>
    <row r="16" spans="1:51">
      <c r="A16" s="13" t="s">
        <v>63</v>
      </c>
    </row>
    <row r="17" spans="1:1">
      <c r="A17" s="13" t="s">
        <v>64</v>
      </c>
    </row>
    <row r="18" spans="1:1">
      <c r="A18" s="13" t="s">
        <v>65</v>
      </c>
    </row>
    <row r="19" spans="1:1">
      <c r="A19" s="13" t="s">
        <v>66</v>
      </c>
    </row>
  </sheetData>
  <phoneticPr fontId="1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OWN部品マトリクス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KAIJIRI RYO</cp:lastModifiedBy>
  <cp:revision>0</cp:revision>
  <dcterms:created xsi:type="dcterms:W3CDTF">2026-07-06T09:26:01Z</dcterms:created>
  <dcterms:modified xsi:type="dcterms:W3CDTF">2026-07-07T11:33:21Z</dcterms:modified>
  <dc:language>en-US</dc:language>
</cp:coreProperties>
</file>