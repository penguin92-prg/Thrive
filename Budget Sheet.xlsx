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/Documents/GitHub/Thrive/"/>
    </mc:Choice>
  </mc:AlternateContent>
  <xr:revisionPtr revIDLastSave="0" documentId="13_ncr:1_{36D75EA1-9DD7-C34C-89F9-0CB8DAC16B1A}" xr6:coauthVersionLast="47" xr6:coauthVersionMax="47" xr10:uidLastSave="{00000000-0000-0000-0000-000000000000}"/>
  <bookViews>
    <workbookView xWindow="0" yWindow="660" windowWidth="29400" windowHeight="17380" activeTab="1" xr2:uid="{D063ABBB-05E9-5048-A2E7-320821861EF2}"/>
  </bookViews>
  <sheets>
    <sheet name="template" sheetId="3" r:id="rId1"/>
    <sheet name="Ma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3" i="1" l="1"/>
  <c r="Q12" i="1"/>
  <c r="Q8" i="3"/>
  <c r="P8" i="3"/>
  <c r="R7" i="3"/>
  <c r="P7" i="3"/>
  <c r="O6" i="3"/>
  <c r="R6" i="3"/>
  <c r="R5" i="3"/>
  <c r="Q5" i="3"/>
  <c r="Q6" i="3"/>
  <c r="P5" i="3"/>
  <c r="D3" i="3"/>
  <c r="O8" i="3" s="1"/>
  <c r="N2" i="3"/>
  <c r="R6" i="1"/>
  <c r="Q8" i="1"/>
  <c r="Q5" i="1"/>
  <c r="O13" i="1" s="1"/>
  <c r="Q6" i="1"/>
  <c r="O8" i="1"/>
  <c r="O7" i="1"/>
  <c r="P5" i="1"/>
  <c r="D4" i="1"/>
  <c r="P8" i="1" s="1"/>
  <c r="D5" i="1"/>
  <c r="D6" i="1"/>
  <c r="R7" i="1" s="1"/>
  <c r="D7" i="1"/>
  <c r="D8" i="1"/>
  <c r="P7" i="1" s="1"/>
  <c r="D3" i="1"/>
  <c r="O6" i="1" s="1"/>
  <c r="N2" i="1"/>
  <c r="O12" i="1" l="1"/>
  <c r="P14" i="1"/>
  <c r="Q14" i="1"/>
  <c r="R13" i="1"/>
  <c r="R5" i="1"/>
  <c r="O14" i="3"/>
  <c r="R12" i="1"/>
  <c r="P11" i="1"/>
  <c r="O7" i="3"/>
  <c r="O13" i="3" s="1"/>
  <c r="Q11" i="1"/>
  <c r="Q14" i="3"/>
  <c r="P13" i="3"/>
  <c r="Q12" i="3"/>
  <c r="P14" i="3"/>
  <c r="R12" i="3"/>
  <c r="P11" i="3"/>
  <c r="O12" i="3"/>
  <c r="R11" i="3"/>
  <c r="R13" i="3"/>
  <c r="R11" i="1" l="1"/>
  <c r="O14" i="1"/>
  <c r="Q11" i="3"/>
</calcChain>
</file>

<file path=xl/sharedStrings.xml><?xml version="1.0" encoding="utf-8"?>
<sst xmlns="http://schemas.openxmlformats.org/spreadsheetml/2006/main" count="78" uniqueCount="28">
  <si>
    <t>名前</t>
    <rPh sb="0" eb="2">
      <t>ナマエ</t>
    </rPh>
    <phoneticPr fontId="1"/>
  </si>
  <si>
    <t>金額</t>
    <rPh sb="0" eb="2">
      <t>キンガク</t>
    </rPh>
    <phoneticPr fontId="1"/>
  </si>
  <si>
    <t>日時</t>
    <rPh sb="0" eb="2">
      <t>ニティ</t>
    </rPh>
    <phoneticPr fontId="1"/>
  </si>
  <si>
    <t>明間</t>
    <rPh sb="0" eb="2">
      <t>アケマ</t>
    </rPh>
    <phoneticPr fontId="1"/>
  </si>
  <si>
    <t>品目</t>
    <rPh sb="0" eb="2">
      <t>ヒンモク</t>
    </rPh>
    <phoneticPr fontId="1"/>
  </si>
  <si>
    <t>貝尻</t>
    <rPh sb="0" eb="2">
      <t>カイジリ</t>
    </rPh>
    <phoneticPr fontId="1"/>
  </si>
  <si>
    <t>寺田に物資の郵送</t>
    <rPh sb="0" eb="2">
      <t>テラダ</t>
    </rPh>
    <rPh sb="3" eb="5">
      <t>ブッセィ</t>
    </rPh>
    <phoneticPr fontId="1"/>
  </si>
  <si>
    <t>寺田</t>
    <rPh sb="0" eb="2">
      <t>テラダ</t>
    </rPh>
    <phoneticPr fontId="1"/>
  </si>
  <si>
    <t>超音波センサ1個、タクトスイッチ2個</t>
    <rPh sb="0" eb="3">
      <t>チョウ</t>
    </rPh>
    <rPh sb="7" eb="8">
      <t xml:space="preserve">コ </t>
    </rPh>
    <rPh sb="17" eb="18">
      <t xml:space="preserve">コ </t>
    </rPh>
    <phoneticPr fontId="1"/>
  </si>
  <si>
    <t>ゴルフボール3個</t>
    <rPh sb="7" eb="8">
      <t xml:space="preserve">コ </t>
    </rPh>
    <phoneticPr fontId="1"/>
  </si>
  <si>
    <t>松井</t>
    <rPh sb="0" eb="2">
      <t>マツイ</t>
    </rPh>
    <phoneticPr fontId="1"/>
  </si>
  <si>
    <t>インサートナット1セット、ケーブル2本、USBマグネット3セット、はんだこて台1個</t>
    <rPh sb="18" eb="19">
      <t>ホn</t>
    </rPh>
    <rPh sb="38" eb="39">
      <t xml:space="preserve">ダイ </t>
    </rPh>
    <rPh sb="40" eb="41">
      <t xml:space="preserve">コ </t>
    </rPh>
    <phoneticPr fontId="1"/>
  </si>
  <si>
    <t>松井</t>
    <rPh sb="0" eb="1">
      <t>マツイ</t>
    </rPh>
    <phoneticPr fontId="1"/>
  </si>
  <si>
    <t>合計金額：</t>
    <rPh sb="0" eb="4">
      <t>ゴウケイ</t>
    </rPh>
    <phoneticPr fontId="1"/>
  </si>
  <si>
    <t>ブラシ1個、ヘラ1個、トレー1個、BOX1個</t>
    <rPh sb="4" eb="5">
      <t xml:space="preserve">コ </t>
    </rPh>
    <rPh sb="9" eb="10">
      <t xml:space="preserve">コ </t>
    </rPh>
    <rPh sb="15" eb="16">
      <t xml:space="preserve">コ </t>
    </rPh>
    <rPh sb="21" eb="22">
      <t xml:space="preserve">コ </t>
    </rPh>
    <phoneticPr fontId="1"/>
  </si>
  <si>
    <t>貝尻</t>
    <rPh sb="0" eb="1">
      <t>カイジリ</t>
    </rPh>
    <phoneticPr fontId="1"/>
  </si>
  <si>
    <t>マグネット1セット</t>
    <phoneticPr fontId="1"/>
  </si>
  <si>
    <t>返却金額：</t>
    <rPh sb="0" eb="4">
      <t>ヘンキャク</t>
    </rPh>
    <phoneticPr fontId="1"/>
  </si>
  <si>
    <t>金額 / 4</t>
    <rPh sb="0" eb="2">
      <t>キンガク</t>
    </rPh>
    <phoneticPr fontId="1"/>
  </si>
  <si>
    <t>-</t>
    <phoneticPr fontId="1"/>
  </si>
  <si>
    <t>to 明間</t>
    <rPh sb="3" eb="5">
      <t>アケマ</t>
    </rPh>
    <phoneticPr fontId="1"/>
  </si>
  <si>
    <t>to 貝尻</t>
    <rPh sb="3" eb="5">
      <t>カイジリ</t>
    </rPh>
    <phoneticPr fontId="1"/>
  </si>
  <si>
    <t>to 寺田</t>
    <rPh sb="3" eb="5">
      <t>テラダ</t>
    </rPh>
    <phoneticPr fontId="1"/>
  </si>
  <si>
    <t>to 松井</t>
    <rPh sb="3" eb="5">
      <t>マツイ</t>
    </rPh>
    <phoneticPr fontId="1"/>
  </si>
  <si>
    <t>from 明間</t>
    <rPh sb="5" eb="7">
      <t>アケマ</t>
    </rPh>
    <phoneticPr fontId="1"/>
  </si>
  <si>
    <t>from 貝尻</t>
    <rPh sb="5" eb="7">
      <t>カイジリ</t>
    </rPh>
    <phoneticPr fontId="1"/>
  </si>
  <si>
    <t>from 寺田</t>
    <rPh sb="5" eb="7">
      <t>テラダ</t>
    </rPh>
    <phoneticPr fontId="1"/>
  </si>
  <si>
    <t>from 松井</t>
    <rPh sb="5" eb="7">
      <t>マツイ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</si>
</sst>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2768-9DEB-714E-838C-EFEA572EA42C}">
  <dimension ref="B1:S14"/>
  <sheetViews>
    <sheetView workbookViewId="0"/>
  </sheetViews>
  <sheetFormatPr baseColWidth="10" defaultRowHeight="35" customHeight="1"/>
  <cols>
    <col min="1" max="1" width="3.140625" style="1" customWidth="1"/>
    <col min="2" max="2" width="10.7109375" style="1"/>
    <col min="3" max="3" width="7.5703125" style="1" customWidth="1"/>
    <col min="5" max="5" width="8.140625" style="1" customWidth="1"/>
    <col min="6" max="6" width="18.85546875" style="1" customWidth="1"/>
    <col min="7" max="16384" width="10.7109375" style="1"/>
  </cols>
  <sheetData>
    <row r="1" spans="2:19" ht="20" customHeight="1"/>
    <row r="2" spans="2:19" ht="35" customHeight="1">
      <c r="B2" s="1" t="s">
        <v>0</v>
      </c>
      <c r="C2" s="1" t="s">
        <v>1</v>
      </c>
      <c r="D2" s="1" t="s">
        <v>18</v>
      </c>
      <c r="E2" s="1" t="s">
        <v>2</v>
      </c>
      <c r="F2" s="1" t="s">
        <v>4</v>
      </c>
      <c r="M2" s="1" t="s">
        <v>13</v>
      </c>
      <c r="N2" s="3">
        <f>SUM(C:C)</f>
        <v>548</v>
      </c>
    </row>
    <row r="3" spans="2:19" ht="35" customHeight="1">
      <c r="B3" s="1" t="s">
        <v>3</v>
      </c>
      <c r="C3" s="1">
        <v>548</v>
      </c>
      <c r="D3" s="1">
        <f>ROUNDUP(C3/4,0)</f>
        <v>137</v>
      </c>
      <c r="E3" s="2">
        <v>46148</v>
      </c>
      <c r="F3" s="1" t="s">
        <v>9</v>
      </c>
    </row>
    <row r="4" spans="2:19" ht="35" customHeight="1">
      <c r="D4" s="1"/>
      <c r="E4" s="2"/>
      <c r="O4" s="1" t="s">
        <v>20</v>
      </c>
      <c r="P4" s="1" t="s">
        <v>21</v>
      </c>
      <c r="Q4" s="1" t="s">
        <v>22</v>
      </c>
      <c r="R4" s="1" t="s">
        <v>23</v>
      </c>
    </row>
    <row r="5" spans="2:19" ht="35" customHeight="1">
      <c r="D5" s="1"/>
      <c r="E5" s="2"/>
      <c r="M5" s="1" t="s">
        <v>17</v>
      </c>
      <c r="N5" s="1" t="s">
        <v>24</v>
      </c>
      <c r="O5" s="5" t="s">
        <v>19</v>
      </c>
      <c r="P5" s="3">
        <f>SUMIF($B$3:$B$100,"貝尻",$D$3:$D$100)</f>
        <v>0</v>
      </c>
      <c r="Q5" s="3">
        <f>SUMIF($B$3:$B$100,"寺田",$D$3:$D$100)</f>
        <v>0</v>
      </c>
      <c r="R5" s="3">
        <f>SUMIF($B$3:$B$100,"松井",$D$3:$D$100)</f>
        <v>0</v>
      </c>
      <c r="S5" s="3"/>
    </row>
    <row r="6" spans="2:19" ht="35" customHeight="1">
      <c r="D6" s="1"/>
      <c r="E6" s="2"/>
      <c r="N6" s="1" t="s">
        <v>25</v>
      </c>
      <c r="O6" s="3">
        <f>SUMIF($B$3:$B$100,"明間",$D$3:$D$100)</f>
        <v>137</v>
      </c>
      <c r="P6" s="4" t="s">
        <v>19</v>
      </c>
      <c r="Q6" s="3">
        <f>SUMIF($B$3:$B$100,"寺田",$D$3:$D$100)</f>
        <v>0</v>
      </c>
      <c r="R6" s="3">
        <f>SUMIF($B$3:$B$100,"松井",$D$3:$D$100)</f>
        <v>0</v>
      </c>
      <c r="S6" s="3"/>
    </row>
    <row r="7" spans="2:19" ht="35" customHeight="1">
      <c r="D7" s="1"/>
      <c r="E7" s="2"/>
      <c r="N7" s="1" t="s">
        <v>26</v>
      </c>
      <c r="O7" s="3">
        <f>SUMIF($B$3:$B$100,"明間",$D$3:$D$100)</f>
        <v>137</v>
      </c>
      <c r="P7" s="3">
        <f>SUMIF($B$3:$B$100,"貝尻",$D$3:$D$100)</f>
        <v>0</v>
      </c>
      <c r="Q7" s="4" t="s">
        <v>19</v>
      </c>
      <c r="R7" s="3">
        <f>SUMIF($B$3:$B$100,"松井",$D$3:$D$100)</f>
        <v>0</v>
      </c>
      <c r="S7" s="3"/>
    </row>
    <row r="8" spans="2:19" ht="35" customHeight="1">
      <c r="D8" s="1"/>
      <c r="E8" s="2"/>
      <c r="N8" s="1" t="s">
        <v>27</v>
      </c>
      <c r="O8" s="3">
        <f>SUMIF($B$3:$B$100,"明間",$D$3:$D$100)</f>
        <v>137</v>
      </c>
      <c r="P8" s="3">
        <f>SUMIF($B$3:$B$100,"貝尻",$D$3:$D$100)</f>
        <v>0</v>
      </c>
      <c r="Q8" s="3">
        <f>SUMIF($B$3:$B$100,"寺田",$D$3:$D$100)</f>
        <v>0</v>
      </c>
      <c r="R8" s="4" t="s">
        <v>19</v>
      </c>
      <c r="S8" s="3"/>
    </row>
    <row r="9" spans="2:19" ht="35" customHeight="1" thickBot="1"/>
    <row r="10" spans="2:19" ht="35" customHeight="1">
      <c r="M10" s="11"/>
      <c r="N10" s="14"/>
      <c r="O10" s="12" t="s">
        <v>20</v>
      </c>
      <c r="P10" s="12" t="s">
        <v>21</v>
      </c>
      <c r="Q10" s="12" t="s">
        <v>22</v>
      </c>
      <c r="R10" s="13" t="s">
        <v>23</v>
      </c>
    </row>
    <row r="11" spans="2:19" ht="35" customHeight="1">
      <c r="M11" s="9" t="s">
        <v>17</v>
      </c>
      <c r="N11" s="15" t="s">
        <v>24</v>
      </c>
      <c r="O11" s="5" t="s">
        <v>19</v>
      </c>
      <c r="P11" s="3">
        <f>IF(P5&gt;O6,P5-O6,O6-P5)</f>
        <v>137</v>
      </c>
      <c r="Q11" s="3">
        <f>IF(Q5&gt;O7,Q5-O7,O7-Q5)</f>
        <v>137</v>
      </c>
      <c r="R11" s="6">
        <f>IF(R5&gt;O8,R5-O8,O8-R5)</f>
        <v>137</v>
      </c>
      <c r="S11" s="3"/>
    </row>
    <row r="12" spans="2:19" ht="35" customHeight="1">
      <c r="M12" s="9"/>
      <c r="N12" s="15" t="s">
        <v>25</v>
      </c>
      <c r="O12" s="3">
        <f>IF(P5&lt;O6,P5-O6,O6-P5)</f>
        <v>-137</v>
      </c>
      <c r="P12" s="4" t="s">
        <v>19</v>
      </c>
      <c r="Q12" s="3">
        <f>IF(Q6&gt;P7,Q6-P7,P7-Q6)</f>
        <v>0</v>
      </c>
      <c r="R12" s="6">
        <f>IF(R6&gt;P8,R6-P8,P8-R6)</f>
        <v>0</v>
      </c>
      <c r="S12" s="3"/>
    </row>
    <row r="13" spans="2:19" ht="35" customHeight="1">
      <c r="M13" s="9"/>
      <c r="N13" s="15" t="s">
        <v>26</v>
      </c>
      <c r="O13" s="3">
        <f>IF(Q5&lt;O7,Q5-O7,O7-Q5)</f>
        <v>-137</v>
      </c>
      <c r="P13" s="3">
        <f>IF(Q6&lt;P7,Q6-P7,P7-Q6)</f>
        <v>0</v>
      </c>
      <c r="Q13" s="4" t="s">
        <v>19</v>
      </c>
      <c r="R13" s="6">
        <f>IF(R7&gt;Q8,R7-Q8,Q8-R7)</f>
        <v>0</v>
      </c>
      <c r="S13" s="3"/>
    </row>
    <row r="14" spans="2:19" ht="35" customHeight="1" thickBot="1">
      <c r="M14" s="10"/>
      <c r="N14" s="16" t="s">
        <v>27</v>
      </c>
      <c r="O14" s="7">
        <f>IF(R5&lt;O8,R5-O8,O8-R5)</f>
        <v>-137</v>
      </c>
      <c r="P14" s="7">
        <f>IF(R6&lt;P8,R6-P8,P8-R6)</f>
        <v>0</v>
      </c>
      <c r="Q14" s="7">
        <f>IF(R7&lt;Q8,R7-Q8,Q8-R7)</f>
        <v>0</v>
      </c>
      <c r="R14" s="8" t="s">
        <v>19</v>
      </c>
      <c r="S14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6437-CEBA-2D43-9DC0-B2768359AD77}">
  <dimension ref="B1:S14"/>
  <sheetViews>
    <sheetView tabSelected="1" workbookViewId="0">
      <selection activeCell="P16" sqref="P16"/>
    </sheetView>
  </sheetViews>
  <sheetFormatPr baseColWidth="10" defaultRowHeight="35" customHeight="1"/>
  <cols>
    <col min="1" max="1" width="3.140625" style="1" customWidth="1"/>
    <col min="2" max="2" width="10.7109375" style="1"/>
    <col min="3" max="3" width="7.5703125" style="1" customWidth="1"/>
    <col min="5" max="5" width="8.140625" style="1" customWidth="1"/>
    <col min="6" max="6" width="18.85546875" style="1" customWidth="1"/>
    <col min="7" max="16384" width="10.7109375" style="1"/>
  </cols>
  <sheetData>
    <row r="1" spans="2:19" ht="20" customHeight="1"/>
    <row r="2" spans="2:19" ht="35" customHeight="1">
      <c r="B2" s="1" t="s">
        <v>0</v>
      </c>
      <c r="C2" s="1" t="s">
        <v>1</v>
      </c>
      <c r="D2" s="1" t="s">
        <v>18</v>
      </c>
      <c r="E2" s="1" t="s">
        <v>2</v>
      </c>
      <c r="F2" s="1" t="s">
        <v>4</v>
      </c>
      <c r="M2" s="1" t="s">
        <v>13</v>
      </c>
      <c r="N2" s="3">
        <f>SUM(C:C)</f>
        <v>10506</v>
      </c>
    </row>
    <row r="3" spans="2:19" ht="35" customHeight="1">
      <c r="B3" s="1" t="s">
        <v>3</v>
      </c>
      <c r="C3" s="1">
        <v>548</v>
      </c>
      <c r="D3" s="1">
        <f>ROUNDUP(C3/4,0)</f>
        <v>137</v>
      </c>
      <c r="E3" s="2">
        <v>46148</v>
      </c>
      <c r="F3" s="1" t="s">
        <v>9</v>
      </c>
    </row>
    <row r="4" spans="2:19" ht="35" customHeight="1">
      <c r="B4" s="1" t="s">
        <v>5</v>
      </c>
      <c r="C4" s="1">
        <v>970</v>
      </c>
      <c r="D4" s="1">
        <f t="shared" ref="D4:D8" si="0">ROUNDUP(C4/4,0)</f>
        <v>243</v>
      </c>
      <c r="E4" s="2">
        <v>46153</v>
      </c>
      <c r="F4" s="1" t="s">
        <v>6</v>
      </c>
      <c r="O4" s="1" t="s">
        <v>20</v>
      </c>
      <c r="P4" s="1" t="s">
        <v>21</v>
      </c>
      <c r="Q4" s="1" t="s">
        <v>22</v>
      </c>
      <c r="R4" s="1" t="s">
        <v>23</v>
      </c>
    </row>
    <row r="5" spans="2:19" ht="35" customHeight="1">
      <c r="B5" s="1" t="s">
        <v>7</v>
      </c>
      <c r="C5" s="1">
        <v>940</v>
      </c>
      <c r="D5" s="1">
        <f t="shared" si="0"/>
        <v>235</v>
      </c>
      <c r="E5" s="2">
        <v>46163</v>
      </c>
      <c r="F5" s="1" t="s">
        <v>8</v>
      </c>
      <c r="M5" s="1" t="s">
        <v>17</v>
      </c>
      <c r="N5" s="1" t="s">
        <v>24</v>
      </c>
      <c r="O5" s="5" t="s">
        <v>19</v>
      </c>
      <c r="P5" s="3">
        <f>SUMIF($B$3:$B$100,"貝尻",$D$3:$D$100)</f>
        <v>271</v>
      </c>
      <c r="Q5" s="3">
        <f>SUMIF($B$3:$B$100,"寺田",$D$3:$D$100)</f>
        <v>235</v>
      </c>
      <c r="R5" s="3">
        <f>SUMIF($B$3:$B$100,"松井",$D$3:$D$100)</f>
        <v>1985</v>
      </c>
      <c r="S5" s="3"/>
    </row>
    <row r="6" spans="2:19" ht="35" customHeight="1">
      <c r="B6" s="1" t="s">
        <v>10</v>
      </c>
      <c r="C6" s="1">
        <v>7498</v>
      </c>
      <c r="D6" s="1">
        <f t="shared" si="0"/>
        <v>1875</v>
      </c>
      <c r="E6" s="2">
        <v>46163</v>
      </c>
      <c r="F6" s="1" t="s">
        <v>11</v>
      </c>
      <c r="N6" s="1" t="s">
        <v>25</v>
      </c>
      <c r="O6" s="3">
        <f>SUMIF($B$3:$B$100,"明間",$D$3:$D$100)</f>
        <v>137</v>
      </c>
      <c r="P6" s="4" t="s">
        <v>19</v>
      </c>
      <c r="Q6" s="3">
        <f>SUMIF($B$3:$B$100,"寺田",$D$3:$D$100)</f>
        <v>235</v>
      </c>
      <c r="R6" s="3">
        <f>SUMIF($B$3:$B$100,"松井",$D$3:$D$100)</f>
        <v>1985</v>
      </c>
      <c r="S6" s="3"/>
    </row>
    <row r="7" spans="2:19" ht="35" customHeight="1">
      <c r="B7" s="1" t="s">
        <v>12</v>
      </c>
      <c r="C7" s="1">
        <v>440</v>
      </c>
      <c r="D7" s="1">
        <f t="shared" si="0"/>
        <v>110</v>
      </c>
      <c r="E7" s="2">
        <v>46164</v>
      </c>
      <c r="F7" s="1" t="s">
        <v>14</v>
      </c>
      <c r="N7" s="1" t="s">
        <v>26</v>
      </c>
      <c r="O7" s="3">
        <f>SUMIF($B$3:$B$100,"明間",$D$3:$D$100)</f>
        <v>137</v>
      </c>
      <c r="P7" s="3">
        <f>SUMIF($B$3:$B$100,"貝尻",$D$3:$D$100)</f>
        <v>271</v>
      </c>
      <c r="Q7" s="4" t="s">
        <v>19</v>
      </c>
      <c r="R7" s="3">
        <f>SUMIF($B$3:$B$100,"松井",$D$3:$D$100)</f>
        <v>1985</v>
      </c>
      <c r="S7" s="3"/>
    </row>
    <row r="8" spans="2:19" ht="35" customHeight="1">
      <c r="B8" s="1" t="s">
        <v>15</v>
      </c>
      <c r="C8" s="1">
        <v>110</v>
      </c>
      <c r="D8" s="1">
        <f t="shared" si="0"/>
        <v>28</v>
      </c>
      <c r="E8" s="2">
        <v>46172</v>
      </c>
      <c r="F8" s="1" t="s">
        <v>16</v>
      </c>
      <c r="N8" s="1" t="s">
        <v>27</v>
      </c>
      <c r="O8" s="3">
        <f>SUMIF($B$3:$B$100,"明間",$D$3:$D$100)</f>
        <v>137</v>
      </c>
      <c r="P8" s="3">
        <f>SUMIF($B$3:$B$100,"貝尻",$D$3:$D$100)</f>
        <v>271</v>
      </c>
      <c r="Q8" s="3">
        <f>SUMIF($B$3:$B$100,"寺田",$D$3:$D$100)</f>
        <v>235</v>
      </c>
      <c r="R8" s="4" t="s">
        <v>19</v>
      </c>
      <c r="S8" s="3"/>
    </row>
    <row r="9" spans="2:19" ht="35" customHeight="1" thickBot="1"/>
    <row r="10" spans="2:19" ht="35" customHeight="1">
      <c r="M10" s="11"/>
      <c r="N10" s="14"/>
      <c r="O10" s="12" t="s">
        <v>20</v>
      </c>
      <c r="P10" s="12" t="s">
        <v>21</v>
      </c>
      <c r="Q10" s="12" t="s">
        <v>22</v>
      </c>
      <c r="R10" s="13" t="s">
        <v>23</v>
      </c>
    </row>
    <row r="11" spans="2:19" ht="35" customHeight="1">
      <c r="M11" s="9" t="s">
        <v>17</v>
      </c>
      <c r="N11" s="15" t="s">
        <v>24</v>
      </c>
      <c r="O11" s="5" t="s">
        <v>19</v>
      </c>
      <c r="P11" s="3">
        <f>IF(P5&gt;O6,P5-O6,O6-P5)</f>
        <v>134</v>
      </c>
      <c r="Q11" s="3">
        <f>IF(Q5&gt;O7,Q5-O7,O7-Q5)</f>
        <v>98</v>
      </c>
      <c r="R11" s="6">
        <f>IF(R5&gt;O8,R5-O8,O8-R5)</f>
        <v>1848</v>
      </c>
      <c r="S11" s="3"/>
    </row>
    <row r="12" spans="2:19" ht="35" customHeight="1">
      <c r="M12" s="9"/>
      <c r="N12" s="15" t="s">
        <v>25</v>
      </c>
      <c r="O12" s="3">
        <f>IF(P5&lt;O6,P5-O6,O6-P5)</f>
        <v>-134</v>
      </c>
      <c r="P12" s="4" t="s">
        <v>19</v>
      </c>
      <c r="Q12" s="3">
        <f>IF(Q6&lt;P7,Q6-P7,P7-Q6)</f>
        <v>-36</v>
      </c>
      <c r="R12" s="6">
        <f>IF(R6&gt;P8,R6-P8,P8-R6)</f>
        <v>1714</v>
      </c>
      <c r="S12" s="3"/>
    </row>
    <row r="13" spans="2:19" ht="35" customHeight="1">
      <c r="M13" s="9"/>
      <c r="N13" s="15" t="s">
        <v>26</v>
      </c>
      <c r="O13" s="3">
        <f>IF(Q5&lt;O7,Q5-O7,O7-Q5)</f>
        <v>-98</v>
      </c>
      <c r="P13" s="3">
        <f>IF(Q6&gt;P7,Q6-P7,P7-Q6)</f>
        <v>36</v>
      </c>
      <c r="Q13" s="4" t="s">
        <v>19</v>
      </c>
      <c r="R13" s="6">
        <f>IF(R7&gt;Q8,R7-Q8,Q8-R7)</f>
        <v>1750</v>
      </c>
      <c r="S13" s="3"/>
    </row>
    <row r="14" spans="2:19" ht="35" customHeight="1" thickBot="1">
      <c r="M14" s="10"/>
      <c r="N14" s="16" t="s">
        <v>27</v>
      </c>
      <c r="O14" s="7">
        <f>IF(R5&lt;O8,R5-O8,O8-R5)</f>
        <v>-1848</v>
      </c>
      <c r="P14" s="7">
        <f>IF(R6&lt;P8,R6-P8,P8-R6)</f>
        <v>-1714</v>
      </c>
      <c r="Q14" s="7">
        <f>IF(R7&lt;Q8,R7-Q8,Q8-R7)</f>
        <v>-1750</v>
      </c>
      <c r="R14" s="8" t="s">
        <v>19</v>
      </c>
      <c r="S14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template</vt:lpstr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KAIJIRI RYO</dc:creator>
  <cp:lastModifiedBy>KAIJIRI RYO</cp:lastModifiedBy>
  <dcterms:created xsi:type="dcterms:W3CDTF">2026-06-01T14:34:52Z</dcterms:created>
  <dcterms:modified xsi:type="dcterms:W3CDTF">2026-06-04T03:17:35Z</dcterms:modified>
</cp:coreProperties>
</file>